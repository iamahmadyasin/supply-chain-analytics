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book\Supply Chain Analytics\outputs\"/>
    </mc:Choice>
  </mc:AlternateContent>
  <xr:revisionPtr revIDLastSave="0" documentId="13_ncr:1_{7C486BC1-A730-461E-B43C-6F2F0AA9D1C6}" xr6:coauthVersionLast="47" xr6:coauthVersionMax="47" xr10:uidLastSave="{00000000-0000-0000-0000-000000000000}"/>
  <bookViews>
    <workbookView xWindow="-120" yWindow="-120" windowWidth="20730" windowHeight="11160" activeTab="2" xr2:uid="{4CA6B319-06F8-4B41-8838-FEC5D032A8B1}"/>
  </bookViews>
  <sheets>
    <sheet name="Reorder Calculator" sheetId="1" r:id="rId1"/>
    <sheet name="Scenario Analysis" sheetId="2" r:id="rId2"/>
    <sheet name="Inventory Snapsho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D4" i="2"/>
  <c r="E4" i="2"/>
  <c r="F4" i="2"/>
  <c r="C5" i="2"/>
  <c r="D5" i="2"/>
  <c r="E5" i="2"/>
  <c r="F5" i="2"/>
  <c r="C6" i="2"/>
  <c r="D6" i="2"/>
  <c r="E6" i="2"/>
  <c r="F6" i="2"/>
  <c r="C7" i="2"/>
  <c r="D7" i="2"/>
  <c r="E7" i="2"/>
  <c r="F7" i="2"/>
  <c r="C8" i="2"/>
  <c r="D8" i="2"/>
  <c r="E8" i="2"/>
  <c r="F8" i="2"/>
  <c r="B5" i="2"/>
  <c r="B6" i="2"/>
  <c r="B7" i="2"/>
  <c r="B8" i="2"/>
  <c r="B4" i="2"/>
  <c r="B19" i="1"/>
  <c r="B17" i="1"/>
  <c r="B14" i="1"/>
  <c r="B15" i="1" s="1"/>
  <c r="B16" i="1" s="1"/>
  <c r="B18" i="1" s="1"/>
</calcChain>
</file>

<file path=xl/sharedStrings.xml><?xml version="1.0" encoding="utf-8"?>
<sst xmlns="http://schemas.openxmlformats.org/spreadsheetml/2006/main" count="56" uniqueCount="49">
  <si>
    <t>Supply Chain Inventory Reorder Calculator</t>
  </si>
  <si>
    <t>INPUTS</t>
  </si>
  <si>
    <t>Average daily demand (units)</t>
  </si>
  <si>
    <t>Demand std deviation</t>
  </si>
  <si>
    <t>Average lead time (days)</t>
  </si>
  <si>
    <t>Lead time std deviation</t>
  </si>
  <si>
    <t>Service level %</t>
  </si>
  <si>
    <t>Order cost per order ($)</t>
  </si>
  <si>
    <t>Unit price ($)</t>
  </si>
  <si>
    <t>Annual holding rate %</t>
  </si>
  <si>
    <t>OUTPUTS</t>
  </si>
  <si>
    <t>Z-score</t>
  </si>
  <si>
    <t>Safety Stock (units)</t>
  </si>
  <si>
    <t>Reorder Point (units)</t>
  </si>
  <si>
    <t>EOQ (units per order)</t>
  </si>
  <si>
    <t>Days of supply at ROP</t>
  </si>
  <si>
    <t>Annual holding cost ($)</t>
  </si>
  <si>
    <t>Reorder Point Sensitivity — Demand vs. Lead Time</t>
  </si>
  <si>
    <t>Reorder Point (units) at 95% service level (Z = 1.645)</t>
  </si>
  <si>
    <t xml:space="preserve"> Demand ↓  /  Lead time →</t>
  </si>
  <si>
    <t>category_name</t>
  </si>
  <si>
    <t>avg_daily_demand</t>
  </si>
  <si>
    <t>sigma_demand</t>
  </si>
  <si>
    <t>avg_lead_time</t>
  </si>
  <si>
    <t>avg_unit_price</t>
  </si>
  <si>
    <t>safety_stock</t>
  </si>
  <si>
    <t>reorder_point</t>
  </si>
  <si>
    <t>eoq</t>
  </si>
  <si>
    <t>days_at_rop</t>
  </si>
  <si>
    <t>annual_demand</t>
  </si>
  <si>
    <t>current_inventory</t>
  </si>
  <si>
    <t>days_remaining</t>
  </si>
  <si>
    <t>status</t>
  </si>
  <si>
    <t>forecast_30d_avg</t>
  </si>
  <si>
    <t>Camping &amp; Hiking</t>
  </si>
  <si>
    <t>Healthy</t>
  </si>
  <si>
    <t>Cardio Equipment</t>
  </si>
  <si>
    <t>Overstock</t>
  </si>
  <si>
    <t>Cleats</t>
  </si>
  <si>
    <t>Electronics</t>
  </si>
  <si>
    <t>Fishing</t>
  </si>
  <si>
    <t>Indoor/Outdoor Games</t>
  </si>
  <si>
    <t>Men's Footwear</t>
  </si>
  <si>
    <t>Stockout risk</t>
  </si>
  <si>
    <t>Shop By Sport</t>
  </si>
  <si>
    <t>Water Sports</t>
  </si>
  <si>
    <t>Women's Apparel</t>
  </si>
  <si>
    <t>Inventory Health Snapshot — Top 10 Categories</t>
  </si>
  <si>
    <t>demand_vs_hist_%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</si>
</sst>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70" formatCode="0.000"/>
    <numFmt numFmtId="171" formatCode="0.0"/>
    <numFmt numFmtId="173" formatCode="0&quot; days&quot;"/>
    <numFmt numFmtId="174" formatCode="0&quot; u/day&quot;"/>
    <numFmt numFmtId="179" formatCode="&quot;$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2" fontId="0" fillId="0" borderId="0" xfId="0" applyNumberFormat="1"/>
    <xf numFmtId="171" fontId="0" fillId="0" borderId="0" xfId="0" applyNumberFormat="1"/>
    <xf numFmtId="0" fontId="0" fillId="0" borderId="3" xfId="0" applyBorder="1"/>
    <xf numFmtId="0" fontId="6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70" fontId="0" fillId="0" borderId="5" xfId="0" applyNumberFormat="1" applyBorder="1" applyAlignment="1">
      <alignment horizontal="center"/>
    </xf>
    <xf numFmtId="171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5" xfId="2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9" fontId="0" fillId="0" borderId="7" xfId="2" applyFont="1" applyBorder="1" applyAlignment="1">
      <alignment horizontal="center"/>
    </xf>
    <xf numFmtId="173" fontId="2" fillId="4" borderId="8" xfId="0" applyNumberFormat="1" applyFont="1" applyFill="1" applyBorder="1" applyAlignment="1">
      <alignment horizontal="center"/>
    </xf>
    <xf numFmtId="173" fontId="2" fillId="4" borderId="3" xfId="0" applyNumberFormat="1" applyFont="1" applyFill="1" applyBorder="1" applyAlignment="1">
      <alignment horizontal="center"/>
    </xf>
    <xf numFmtId="174" fontId="2" fillId="4" borderId="4" xfId="0" applyNumberFormat="1" applyFont="1" applyFill="1" applyBorder="1" applyAlignment="1">
      <alignment horizontal="center"/>
    </xf>
    <xf numFmtId="174" fontId="2" fillId="4" borderId="6" xfId="0" applyNumberFormat="1" applyFont="1" applyFill="1" applyBorder="1" applyAlignment="1">
      <alignment horizontal="center"/>
    </xf>
    <xf numFmtId="1" fontId="0" fillId="0" borderId="0" xfId="0" applyNumberFormat="1"/>
    <xf numFmtId="0" fontId="5" fillId="2" borderId="0" xfId="0" applyFont="1" applyFill="1" applyAlignment="1"/>
    <xf numFmtId="0" fontId="0" fillId="2" borderId="0" xfId="0" applyFill="1" applyAlignment="1"/>
    <xf numFmtId="0" fontId="5" fillId="2" borderId="0" xfId="0" applyFont="1" applyFill="1" applyAlignment="1">
      <alignment horizontal="left" indent="47"/>
    </xf>
    <xf numFmtId="179" fontId="0" fillId="0" borderId="7" xfId="1" applyNumberFormat="1" applyFont="1" applyBorder="1" applyAlignment="1">
      <alignment horizontal="center"/>
    </xf>
    <xf numFmtId="179" fontId="0" fillId="0" borderId="0" xfId="0" applyNumberFormat="1"/>
    <xf numFmtId="2" fontId="0" fillId="2" borderId="0" xfId="0" applyNumberFormat="1" applyFill="1" applyAlignment="1"/>
  </cellXfs>
  <cellStyles count="3">
    <cellStyle name="Currency" xfId="1" builtinId="4"/>
    <cellStyle name="Normal" xfId="0" builtinId="0"/>
    <cellStyle name="Percent" xfId="2" builtinId="5"/>
  </cellStyles>
  <dxfs count="11"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79" formatCode="&quot;$&quot;#,##0.00"/>
    </dxf>
    <dxf>
      <numFmt numFmtId="171" formatCode="0.0"/>
    </dxf>
    <dxf>
      <numFmt numFmtId="171" formatCode="0.0"/>
    </dxf>
    <dxf>
      <numFmt numFmtId="171" formatCode="0.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D9E1F2"/>
      <color rgb="FFFFB3B3"/>
      <color rgb="FFD64C4C"/>
      <color rgb="FF2F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247902-3716-4257-A109-3B8365106750}" name="Table1" displayName="Table1" ref="A2:O12" totalsRowShown="0">
  <autoFilter ref="A2:O12" xr:uid="{6B247902-3716-4257-A109-3B8365106750}"/>
  <tableColumns count="15">
    <tableColumn id="1" xr3:uid="{CEB31810-01F4-49C5-8082-7CF53749791E}" name="category_name"/>
    <tableColumn id="2" xr3:uid="{14DFB909-CCF9-4E32-BD57-0D9879CEFA9B}" name="avg_daily_demand" dataDxfId="7"/>
    <tableColumn id="3" xr3:uid="{FDA1C97D-ADD8-456F-9010-38E2E9C9E527}" name="sigma_demand" dataDxfId="6"/>
    <tableColumn id="4" xr3:uid="{9CDC0C2E-FBF7-408F-9132-99765C7699E1}" name="avg_lead_time" dataDxfId="5"/>
    <tableColumn id="5" xr3:uid="{9F10CBBE-D5AA-4789-8B0D-B5A5809326CF}" name="avg_unit_price" dataDxfId="4"/>
    <tableColumn id="6" xr3:uid="{ED9F8C55-6010-45E6-B6BD-EA7375E2BD25}" name="safety_stock"/>
    <tableColumn id="7" xr3:uid="{129F0595-00F3-4291-AEB5-CFCA4CB117F2}" name="reorder_point"/>
    <tableColumn id="8" xr3:uid="{93DD58F7-221C-4EF5-A3DF-87D5DED0D126}" name="eoq"/>
    <tableColumn id="9" xr3:uid="{544850AA-87B2-404C-A557-CB550966BAA9}" name="days_at_rop"/>
    <tableColumn id="10" xr3:uid="{72440277-6266-40E2-9214-FE4027D3FC27}" name="annual_demand" dataDxfId="3"/>
    <tableColumn id="11" xr3:uid="{37802C50-07EB-43D1-A283-62B68E7E4149}" name="current_inventory" dataDxfId="2"/>
    <tableColumn id="12" xr3:uid="{582B7F2F-77BB-419D-BF90-8A37F7FC670E}" name="days_remaining"/>
    <tableColumn id="13" xr3:uid="{660F3DCE-9284-4B3E-B70B-51267807D749}" name="status"/>
    <tableColumn id="14" xr3:uid="{939955BD-C32E-4A27-8EF4-3E35FFC5B457}" name="forecast_30d_avg" dataDxfId="1"/>
    <tableColumn id="15" xr3:uid="{0234445E-83D8-493C-8D54-063B80DE3BF5}" name="demand_vs_hist_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F477-EF88-4086-8315-63952752D70F}">
  <dimension ref="A1:B19"/>
  <sheetViews>
    <sheetView workbookViewId="0">
      <selection activeCell="B9" sqref="B9"/>
    </sheetView>
  </sheetViews>
  <sheetFormatPr defaultRowHeight="15"/>
  <cols>
    <col min="1" max="1" width="35.7109375" customWidth="1"/>
    <col min="2" max="2" width="21.42578125" customWidth="1"/>
  </cols>
  <sheetData>
    <row r="1" spans="1:2" ht="18.75">
      <c r="A1" s="11" t="s">
        <v>0</v>
      </c>
      <c r="B1" s="12"/>
    </row>
    <row r="2" spans="1:2" ht="15.75" thickBot="1"/>
    <row r="3" spans="1:2">
      <c r="A3" s="13" t="s">
        <v>1</v>
      </c>
      <c r="B3" s="3"/>
    </row>
    <row r="4" spans="1:2">
      <c r="A4" s="15" t="s">
        <v>2</v>
      </c>
      <c r="B4" s="19">
        <v>17</v>
      </c>
    </row>
    <row r="5" spans="1:2">
      <c r="A5" s="15" t="s">
        <v>3</v>
      </c>
      <c r="B5" s="19">
        <v>4.2</v>
      </c>
    </row>
    <row r="6" spans="1:2">
      <c r="A6" s="15" t="s">
        <v>4</v>
      </c>
      <c r="B6" s="19">
        <v>3.5</v>
      </c>
    </row>
    <row r="7" spans="1:2">
      <c r="A7" s="15" t="s">
        <v>5</v>
      </c>
      <c r="B7" s="19">
        <v>1.1000000000000001</v>
      </c>
    </row>
    <row r="8" spans="1:2">
      <c r="A8" s="15" t="s">
        <v>6</v>
      </c>
      <c r="B8" s="21">
        <v>0.95</v>
      </c>
    </row>
    <row r="9" spans="1:2">
      <c r="A9" s="15" t="s">
        <v>7</v>
      </c>
      <c r="B9" s="19">
        <v>50</v>
      </c>
    </row>
    <row r="10" spans="1:2">
      <c r="A10" s="15" t="s">
        <v>8</v>
      </c>
      <c r="B10" s="22">
        <v>89</v>
      </c>
    </row>
    <row r="11" spans="1:2" ht="15.75" thickBot="1">
      <c r="A11" s="20" t="s">
        <v>9</v>
      </c>
      <c r="B11" s="23">
        <v>0.2</v>
      </c>
    </row>
    <row r="12" spans="1:2" ht="15.75" thickBot="1"/>
    <row r="13" spans="1:2">
      <c r="A13" s="14" t="s">
        <v>10</v>
      </c>
      <c r="B13" s="3"/>
    </row>
    <row r="14" spans="1:2">
      <c r="A14" s="15" t="s">
        <v>11</v>
      </c>
      <c r="B14" s="16">
        <f>_xlfn.NORM.S.INV(B8)</f>
        <v>1.6448536269514715</v>
      </c>
    </row>
    <row r="15" spans="1:2">
      <c r="A15" s="15" t="s">
        <v>12</v>
      </c>
      <c r="B15" s="17">
        <f>B14*SQRT(B6*B5^2 + B4^2*B7^2)</f>
        <v>33.363778912444481</v>
      </c>
    </row>
    <row r="16" spans="1:2">
      <c r="A16" s="15" t="s">
        <v>13</v>
      </c>
      <c r="B16" s="17">
        <f>B4*B6+B15</f>
        <v>92.863778912444474</v>
      </c>
    </row>
    <row r="17" spans="1:2">
      <c r="A17" s="15" t="s">
        <v>14</v>
      </c>
      <c r="B17" s="18">
        <f>SQRT((2*B4*365*B9)/(B10*B11))</f>
        <v>186.70712509649371</v>
      </c>
    </row>
    <row r="18" spans="1:2">
      <c r="A18" s="15" t="s">
        <v>15</v>
      </c>
      <c r="B18" s="17">
        <f>B16/B4</f>
        <v>5.4625752301437922</v>
      </c>
    </row>
    <row r="19" spans="1:2" ht="15.75" thickBot="1">
      <c r="A19" s="20" t="s">
        <v>16</v>
      </c>
      <c r="B19" s="32">
        <f>B17/2*B10*B11</f>
        <v>1661.693413358794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B7D9-7ED7-43BA-BB25-CC3966B7F767}">
  <dimension ref="A1:F8"/>
  <sheetViews>
    <sheetView workbookViewId="0">
      <selection activeCell="B4" sqref="B4"/>
    </sheetView>
  </sheetViews>
  <sheetFormatPr defaultRowHeight="15"/>
  <cols>
    <col min="1" max="1" width="25.28515625" bestFit="1" customWidth="1"/>
  </cols>
  <sheetData>
    <row r="1" spans="1:6" ht="15.75">
      <c r="A1" s="4" t="s">
        <v>17</v>
      </c>
      <c r="B1" s="4"/>
      <c r="C1" s="4"/>
      <c r="D1" s="4"/>
      <c r="E1" s="4"/>
      <c r="F1" s="4"/>
    </row>
    <row r="2" spans="1:6" ht="16.5" thickBot="1">
      <c r="A2" s="5" t="s">
        <v>18</v>
      </c>
      <c r="B2" s="5"/>
      <c r="C2" s="5"/>
      <c r="D2" s="5"/>
      <c r="E2" s="5"/>
      <c r="F2" s="5"/>
    </row>
    <row r="3" spans="1:6">
      <c r="A3" s="7" t="s">
        <v>19</v>
      </c>
      <c r="B3" s="24">
        <v>2</v>
      </c>
      <c r="C3" s="24">
        <v>3</v>
      </c>
      <c r="D3" s="24">
        <v>4</v>
      </c>
      <c r="E3" s="24">
        <v>5</v>
      </c>
      <c r="F3" s="25">
        <v>6</v>
      </c>
    </row>
    <row r="4" spans="1:6">
      <c r="A4" s="26">
        <v>10</v>
      </c>
      <c r="B4" s="6">
        <f>ROUND(B$3*$A4 + 1.645*SQRT(B$3*4.2^2 + $A4^2*1.1^2), 0)</f>
        <v>41</v>
      </c>
      <c r="C4" s="6">
        <f t="shared" ref="C4:F4" si="0">ROUND(C$3*$A4 + 1.645*SQRT(C$3*4.2^2 + $A4^2*1.1^2), 0)</f>
        <v>52</v>
      </c>
      <c r="D4" s="6">
        <f t="shared" si="0"/>
        <v>63</v>
      </c>
      <c r="E4" s="6">
        <f t="shared" si="0"/>
        <v>74</v>
      </c>
      <c r="F4" s="8">
        <f t="shared" si="0"/>
        <v>85</v>
      </c>
    </row>
    <row r="5" spans="1:6">
      <c r="A5" s="26">
        <v>15</v>
      </c>
      <c r="B5" s="6">
        <f t="shared" ref="B5:F8" si="1">ROUND(B$3*$A5 + 1.645*SQRT(B$3*4.2^2 + $A5^2*1.1^2), 0)</f>
        <v>59</v>
      </c>
      <c r="C5" s="6">
        <f t="shared" si="1"/>
        <v>75</v>
      </c>
      <c r="D5" s="6">
        <f t="shared" si="1"/>
        <v>90</v>
      </c>
      <c r="E5" s="6">
        <f t="shared" si="1"/>
        <v>106</v>
      </c>
      <c r="F5" s="8">
        <f t="shared" si="1"/>
        <v>122</v>
      </c>
    </row>
    <row r="6" spans="1:6">
      <c r="A6" s="26">
        <v>20</v>
      </c>
      <c r="B6" s="6">
        <f t="shared" si="1"/>
        <v>77</v>
      </c>
      <c r="C6" s="6">
        <f t="shared" si="1"/>
        <v>98</v>
      </c>
      <c r="D6" s="6">
        <f t="shared" si="1"/>
        <v>119</v>
      </c>
      <c r="E6" s="6">
        <f t="shared" si="1"/>
        <v>139</v>
      </c>
      <c r="F6" s="8">
        <f t="shared" si="1"/>
        <v>160</v>
      </c>
    </row>
    <row r="7" spans="1:6">
      <c r="A7" s="26">
        <v>25</v>
      </c>
      <c r="B7" s="6">
        <f t="shared" si="1"/>
        <v>96</v>
      </c>
      <c r="C7" s="6">
        <f t="shared" si="1"/>
        <v>122</v>
      </c>
      <c r="D7" s="6">
        <f t="shared" si="1"/>
        <v>147</v>
      </c>
      <c r="E7" s="6">
        <f t="shared" si="1"/>
        <v>173</v>
      </c>
      <c r="F7" s="8">
        <f t="shared" si="1"/>
        <v>198</v>
      </c>
    </row>
    <row r="8" spans="1:6" ht="15.75" thickBot="1">
      <c r="A8" s="27">
        <v>30</v>
      </c>
      <c r="B8" s="9">
        <f t="shared" si="1"/>
        <v>115</v>
      </c>
      <c r="C8" s="9">
        <f t="shared" si="1"/>
        <v>146</v>
      </c>
      <c r="D8" s="9">
        <f t="shared" si="1"/>
        <v>176</v>
      </c>
      <c r="E8" s="9">
        <f t="shared" si="1"/>
        <v>206</v>
      </c>
      <c r="F8" s="10">
        <f t="shared" si="1"/>
        <v>237</v>
      </c>
    </row>
  </sheetData>
  <mergeCells count="2">
    <mergeCell ref="A1:F1"/>
    <mergeCell ref="A2:F2"/>
  </mergeCells>
  <conditionalFormatting sqref="B4:F8">
    <cfRule type="colorScale" priority="1">
      <colorScale>
        <cfvo type="min"/>
        <cfvo type="percentile" val="50"/>
        <cfvo type="max"/>
        <color rgb="FF92D050"/>
        <color rgb="FFFFEB84"/>
        <color rgb="FFD64C4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40D6-6D1D-43AB-906D-2F66FE64B59F}">
  <dimension ref="A1:O12"/>
  <sheetViews>
    <sheetView tabSelected="1" topLeftCell="E1" workbookViewId="0">
      <selection activeCell="K6" sqref="K6"/>
    </sheetView>
  </sheetViews>
  <sheetFormatPr defaultRowHeight="15"/>
  <cols>
    <col min="1" max="1" width="16.7109375" customWidth="1"/>
    <col min="2" max="2" width="19.7109375" customWidth="1"/>
    <col min="3" max="3" width="16.5703125" customWidth="1"/>
    <col min="4" max="5" width="16.140625" customWidth="1"/>
    <col min="6" max="6" width="14.140625" customWidth="1"/>
    <col min="7" max="7" width="15.5703125" customWidth="1"/>
    <col min="9" max="9" width="13.85546875" customWidth="1"/>
    <col min="10" max="10" width="17.42578125" customWidth="1"/>
    <col min="11" max="11" width="19.140625" style="28" customWidth="1"/>
    <col min="12" max="12" width="17.140625" customWidth="1"/>
    <col min="13" max="13" width="12.28515625" bestFit="1" customWidth="1"/>
    <col min="14" max="14" width="18.42578125" customWidth="1"/>
    <col min="15" max="15" width="20.5703125" style="1" bestFit="1" customWidth="1"/>
  </cols>
  <sheetData>
    <row r="1" spans="1:15" ht="18.75">
      <c r="A1" s="31" t="s">
        <v>47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  <c r="M1" s="30"/>
      <c r="N1" s="30"/>
      <c r="O1" s="34"/>
    </row>
    <row r="2" spans="1:15">
      <c r="A2" t="s">
        <v>20</v>
      </c>
      <c r="B2" s="28" t="s">
        <v>21</v>
      </c>
      <c r="C2" t="s">
        <v>22</v>
      </c>
      <c r="D2" t="s">
        <v>23</v>
      </c>
      <c r="E2" s="33" t="s">
        <v>24</v>
      </c>
      <c r="F2" s="1" t="s">
        <v>25</v>
      </c>
      <c r="G2" s="1" t="s">
        <v>26</v>
      </c>
      <c r="H2" s="1" t="s">
        <v>27</v>
      </c>
      <c r="I2" t="s">
        <v>28</v>
      </c>
      <c r="J2" t="s">
        <v>29</v>
      </c>
      <c r="K2" s="28" t="s">
        <v>30</v>
      </c>
      <c r="L2" s="1" t="s">
        <v>31</v>
      </c>
      <c r="M2" t="s">
        <v>32</v>
      </c>
      <c r="N2" s="1" t="s">
        <v>33</v>
      </c>
      <c r="O2" s="1" t="s">
        <v>48</v>
      </c>
    </row>
    <row r="3" spans="1:15">
      <c r="A3" t="s">
        <v>34</v>
      </c>
      <c r="B3" s="2">
        <v>13.6324435318275</v>
      </c>
      <c r="C3" s="2">
        <v>3.7285067209728</v>
      </c>
      <c r="D3" s="2">
        <v>3.5032384395240199</v>
      </c>
      <c r="E3" s="33">
        <v>299.98001099999999</v>
      </c>
      <c r="F3">
        <v>38.299999999999997</v>
      </c>
      <c r="G3">
        <v>86.1</v>
      </c>
      <c r="H3">
        <v>91.1</v>
      </c>
      <c r="I3">
        <v>6.3</v>
      </c>
      <c r="J3" s="28">
        <v>4976</v>
      </c>
      <c r="K3" s="28">
        <v>167</v>
      </c>
      <c r="L3">
        <v>12.3</v>
      </c>
      <c r="M3" t="s">
        <v>35</v>
      </c>
      <c r="N3" s="1">
        <v>14.104333333333299</v>
      </c>
      <c r="O3" s="1">
        <v>3.5</v>
      </c>
    </row>
    <row r="4" spans="1:15">
      <c r="A4" t="s">
        <v>36</v>
      </c>
      <c r="B4" s="2">
        <v>12.407597535934199</v>
      </c>
      <c r="C4" s="2">
        <v>3.5947294663882698</v>
      </c>
      <c r="D4" s="2">
        <v>3.4944973107157602</v>
      </c>
      <c r="E4" s="33">
        <v>98.1483082183384</v>
      </c>
      <c r="F4">
        <v>34.9</v>
      </c>
      <c r="G4">
        <v>78.3</v>
      </c>
      <c r="H4">
        <v>151.9</v>
      </c>
      <c r="I4">
        <v>6.3</v>
      </c>
      <c r="J4" s="28">
        <v>4529</v>
      </c>
      <c r="K4" s="28">
        <v>337</v>
      </c>
      <c r="L4">
        <v>27.2</v>
      </c>
      <c r="M4" t="s">
        <v>37</v>
      </c>
      <c r="N4" s="1">
        <v>12.407597535934199</v>
      </c>
      <c r="O4" s="1">
        <v>0</v>
      </c>
    </row>
    <row r="5" spans="1:15">
      <c r="A5" t="s">
        <v>38</v>
      </c>
      <c r="B5" s="2">
        <v>24.418891170431198</v>
      </c>
      <c r="C5" s="2">
        <v>5.1486727255681402</v>
      </c>
      <c r="D5" s="2">
        <v>3.51126807938109</v>
      </c>
      <c r="E5" s="33">
        <v>59.990001679999999</v>
      </c>
      <c r="F5">
        <v>67.5</v>
      </c>
      <c r="G5">
        <v>153.19999999999999</v>
      </c>
      <c r="H5">
        <v>272.5</v>
      </c>
      <c r="I5">
        <v>6.3</v>
      </c>
      <c r="J5" s="28">
        <v>8913</v>
      </c>
      <c r="K5" s="28">
        <v>521</v>
      </c>
      <c r="L5">
        <v>21.3</v>
      </c>
      <c r="M5" t="s">
        <v>37</v>
      </c>
      <c r="N5" s="1">
        <v>24.783000000000001</v>
      </c>
      <c r="O5" s="1">
        <v>1.5</v>
      </c>
    </row>
    <row r="6" spans="1:15">
      <c r="A6" t="s">
        <v>39</v>
      </c>
      <c r="B6" s="2">
        <v>3.8676470588235201</v>
      </c>
      <c r="C6" s="2">
        <v>1.8998565920541699</v>
      </c>
      <c r="D6" s="2">
        <v>3.4949302915082301</v>
      </c>
      <c r="E6" s="33">
        <v>39.433600130880798</v>
      </c>
      <c r="F6">
        <v>11.9</v>
      </c>
      <c r="G6">
        <v>25.4</v>
      </c>
      <c r="H6">
        <v>133.80000000000001</v>
      </c>
      <c r="I6">
        <v>6.6</v>
      </c>
      <c r="J6" s="28">
        <v>1412</v>
      </c>
      <c r="K6" s="28">
        <v>73</v>
      </c>
      <c r="L6">
        <v>18.899999999999999</v>
      </c>
      <c r="M6" t="s">
        <v>35</v>
      </c>
      <c r="N6" s="1">
        <v>3.8676470588235201</v>
      </c>
      <c r="O6" s="1">
        <v>0</v>
      </c>
    </row>
    <row r="7" spans="1:15">
      <c r="A7" t="s">
        <v>40</v>
      </c>
      <c r="B7" s="2">
        <v>17.188911704312101</v>
      </c>
      <c r="C7" s="2">
        <v>4.2119148089763803</v>
      </c>
      <c r="D7" s="2">
        <v>3.50531597180743</v>
      </c>
      <c r="E7" s="33">
        <v>399.98001099999999</v>
      </c>
      <c r="F7">
        <v>47.5</v>
      </c>
      <c r="G7">
        <v>107.8</v>
      </c>
      <c r="H7">
        <v>88.6</v>
      </c>
      <c r="I7">
        <v>6.3</v>
      </c>
      <c r="J7" s="28">
        <v>6274</v>
      </c>
      <c r="K7" s="28">
        <v>112</v>
      </c>
      <c r="L7">
        <v>6.5</v>
      </c>
      <c r="M7" t="s">
        <v>35</v>
      </c>
      <c r="N7" s="1">
        <v>16.632999999999999</v>
      </c>
      <c r="O7" s="1">
        <v>-3.2</v>
      </c>
    </row>
    <row r="8" spans="1:15">
      <c r="A8" t="s">
        <v>41</v>
      </c>
      <c r="B8" s="2">
        <v>19.219712525667301</v>
      </c>
      <c r="C8" s="2">
        <v>4.4272097935983901</v>
      </c>
      <c r="D8" s="2">
        <v>3.4952457264957202</v>
      </c>
      <c r="E8" s="33">
        <v>49.979999540000001</v>
      </c>
      <c r="F8">
        <v>53.2</v>
      </c>
      <c r="G8">
        <v>120.4</v>
      </c>
      <c r="H8">
        <v>264.89999999999998</v>
      </c>
      <c r="I8">
        <v>6.3</v>
      </c>
      <c r="J8" s="28">
        <v>7015</v>
      </c>
      <c r="K8" s="28">
        <v>125</v>
      </c>
      <c r="L8">
        <v>6.5</v>
      </c>
      <c r="M8" t="s">
        <v>35</v>
      </c>
      <c r="N8" s="1">
        <v>19.219712525667301</v>
      </c>
      <c r="O8" s="1">
        <v>0</v>
      </c>
    </row>
    <row r="9" spans="1:15">
      <c r="A9" t="s">
        <v>42</v>
      </c>
      <c r="B9" s="2">
        <v>22.127310061601602</v>
      </c>
      <c r="C9" s="2">
        <v>4.8659537832073303</v>
      </c>
      <c r="D9" s="2">
        <v>3.5008815887156599</v>
      </c>
      <c r="E9" s="33">
        <v>129.9900055</v>
      </c>
      <c r="F9">
        <v>60.8</v>
      </c>
      <c r="G9">
        <v>138.30000000000001</v>
      </c>
      <c r="H9">
        <v>176.2</v>
      </c>
      <c r="I9">
        <v>6.3</v>
      </c>
      <c r="J9" s="28">
        <v>8076</v>
      </c>
      <c r="K9" s="28">
        <v>88</v>
      </c>
      <c r="L9">
        <v>4</v>
      </c>
      <c r="M9" t="s">
        <v>43</v>
      </c>
      <c r="N9" s="1">
        <v>22.127310061601602</v>
      </c>
      <c r="O9" s="1">
        <v>0</v>
      </c>
    </row>
    <row r="10" spans="1:15">
      <c r="A10" t="s">
        <v>44</v>
      </c>
      <c r="B10" s="2">
        <v>10.931211498973299</v>
      </c>
      <c r="C10" s="2">
        <v>3.3316803118457199</v>
      </c>
      <c r="D10" s="2">
        <v>3.49234526157603</v>
      </c>
      <c r="E10" s="33">
        <v>40.621450888443597</v>
      </c>
      <c r="F10">
        <v>31.1</v>
      </c>
      <c r="G10">
        <v>69.3</v>
      </c>
      <c r="H10">
        <v>221.7</v>
      </c>
      <c r="I10">
        <v>6.3</v>
      </c>
      <c r="J10" s="28">
        <v>3990</v>
      </c>
      <c r="K10" s="28">
        <v>274</v>
      </c>
      <c r="L10">
        <v>25.1</v>
      </c>
      <c r="M10" t="s">
        <v>37</v>
      </c>
      <c r="N10" s="1">
        <v>10.931211498973299</v>
      </c>
      <c r="O10" s="1">
        <v>0</v>
      </c>
    </row>
    <row r="11" spans="1:15">
      <c r="A11" t="s">
        <v>45</v>
      </c>
      <c r="B11" s="2">
        <v>15.403490759753501</v>
      </c>
      <c r="C11" s="2">
        <v>4.0452766578895698</v>
      </c>
      <c r="D11" s="2">
        <v>3.4868359661401001</v>
      </c>
      <c r="E11" s="33">
        <v>199.9900055</v>
      </c>
      <c r="F11">
        <v>43</v>
      </c>
      <c r="G11">
        <v>96.7</v>
      </c>
      <c r="H11">
        <v>118.6</v>
      </c>
      <c r="I11">
        <v>6.3</v>
      </c>
      <c r="J11" s="28">
        <v>5622</v>
      </c>
      <c r="K11" s="28">
        <v>277</v>
      </c>
      <c r="L11">
        <v>18</v>
      </c>
      <c r="M11" t="s">
        <v>35</v>
      </c>
      <c r="N11" s="1">
        <v>15.403490759753501</v>
      </c>
      <c r="O11" s="1">
        <v>0</v>
      </c>
    </row>
    <row r="12" spans="1:15">
      <c r="A12" t="s">
        <v>46</v>
      </c>
      <c r="B12" s="2">
        <v>20.910677618069801</v>
      </c>
      <c r="C12" s="2">
        <v>4.7607971031456104</v>
      </c>
      <c r="D12" s="2">
        <v>3.4804831344822502</v>
      </c>
      <c r="E12" s="33">
        <v>50</v>
      </c>
      <c r="F12">
        <v>57.6</v>
      </c>
      <c r="G12">
        <v>130.4</v>
      </c>
      <c r="H12">
        <v>276.3</v>
      </c>
      <c r="I12">
        <v>6.2</v>
      </c>
      <c r="J12" s="28">
        <v>7632</v>
      </c>
      <c r="K12" s="28">
        <v>431</v>
      </c>
      <c r="L12">
        <v>20.6</v>
      </c>
      <c r="M12" t="s">
        <v>37</v>
      </c>
      <c r="N12" s="1">
        <v>20.910677618069801</v>
      </c>
      <c r="O12" s="1">
        <v>0</v>
      </c>
    </row>
  </sheetData>
  <conditionalFormatting sqref="M1:M1048576">
    <cfRule type="containsText" dxfId="10" priority="1" operator="containsText" text="Healthy">
      <formula>NOT(ISERROR(SEARCH("Healthy",M1)))</formula>
    </cfRule>
    <cfRule type="containsText" dxfId="9" priority="2" operator="containsText" text="Overstock">
      <formula>NOT(ISERROR(SEARCH("Overstock",M1)))</formula>
    </cfRule>
    <cfRule type="containsText" dxfId="8" priority="3" operator="containsText" text="Stockout risk">
      <formula>NOT(ISERROR(SEARCH("Stockout risk",M1)))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Reorder Calculator</vt:lpstr>
      <vt:lpstr>Scenario Analysis</vt:lpstr>
      <vt:lpstr>Inventory Snapshot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Yasin</dc:creator>
  <cp:lastModifiedBy>Ahmad Yasin</cp:lastModifiedBy>
  <dcterms:created xsi:type="dcterms:W3CDTF">2026-06-19T09:15:03Z</dcterms:created>
  <dcterms:modified xsi:type="dcterms:W3CDTF">2026-06-19T10:20:23Z</dcterms:modified>
</cp:coreProperties>
</file>